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021OG\Downloads\"/>
    </mc:Choice>
  </mc:AlternateContent>
  <xr:revisionPtr revIDLastSave="0" documentId="13_ncr:1_{0861ECEC-92AB-450E-8035-3937F123FDAE}" xr6:coauthVersionLast="47" xr6:coauthVersionMax="47" xr10:uidLastSave="{00000000-0000-0000-0000-000000000000}"/>
  <bookViews>
    <workbookView xWindow="-120" yWindow="-120" windowWidth="19440" windowHeight="10440" activeTab="1" xr2:uid="{115E2B5A-0035-4308-B1EC-F29BF8C33C6F}"/>
  </bookViews>
  <sheets>
    <sheet name="Test1 - 1hr" sheetId="1" r:id="rId1"/>
    <sheet name="Test2 - 30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2" l="1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4" i="1"/>
</calcChain>
</file>

<file path=xl/sharedStrings.xml><?xml version="1.0" encoding="utf-8"?>
<sst xmlns="http://schemas.openxmlformats.org/spreadsheetml/2006/main" count="90" uniqueCount="48">
  <si>
    <t>Label</t>
  </si>
  <si>
    <t># Samples</t>
  </si>
  <si>
    <t>Average</t>
  </si>
  <si>
    <t>90% Line</t>
  </si>
  <si>
    <t>Min</t>
  </si>
  <si>
    <t>Max</t>
  </si>
  <si>
    <t>Error %</t>
  </si>
  <si>
    <t>Throughput</t>
  </si>
  <si>
    <t>O2P_CM_01_Login</t>
  </si>
  <si>
    <t>O2P_CM_02_LoginGhana</t>
  </si>
  <si>
    <t>O2P_CM_03_ID&amp;V</t>
  </si>
  <si>
    <t>O2P_CM_04_SearchIndividual</t>
  </si>
  <si>
    <t>O2P_CM_05_SelectCustomer</t>
  </si>
  <si>
    <t>O2P_CM_06_BypassValidation</t>
  </si>
  <si>
    <t>O2P_CM_07_ManageCustomer</t>
  </si>
  <si>
    <t>O2P_CM_08_AddCase</t>
  </si>
  <si>
    <t>O2P_CM_09_SaveCase</t>
  </si>
  <si>
    <t>O2P_CM_10_CaseManagement</t>
  </si>
  <si>
    <t>O2P_CM_11_SearchCase</t>
  </si>
  <si>
    <t>O2P_CM_12_ViewCase</t>
  </si>
  <si>
    <t>O2P_CM_13_DeleteCase</t>
  </si>
  <si>
    <t>O2P_CM_14_EndSession</t>
  </si>
  <si>
    <t>O2P_CM_15_Logoff</t>
  </si>
  <si>
    <t>O2P_OPP_01_Login</t>
  </si>
  <si>
    <t>O2P_OPP_02_Login_Country</t>
  </si>
  <si>
    <t>O2P_OPP_03_ClickID&amp;V</t>
  </si>
  <si>
    <t>O2P_OPP_04_SearchIndividual</t>
  </si>
  <si>
    <t>O2P_OPP_05_SelectCustomer</t>
  </si>
  <si>
    <t>O2P_OPP_06_ByPassValidation</t>
  </si>
  <si>
    <t>O2P_OPP_07_ManageCustomerTab</t>
  </si>
  <si>
    <t>O2P_OPP_08_AddOpportunity</t>
  </si>
  <si>
    <t>O2P_OPP_09_SaveOpportunity</t>
  </si>
  <si>
    <t>O2P_OPP_10_ManageAccountTab</t>
  </si>
  <si>
    <t>O2P_OPP_11_OpportunityList</t>
  </si>
  <si>
    <t>O2P_OPP_12_DeleteOpportunity</t>
  </si>
  <si>
    <t>O2P_OPP_13_EndSession</t>
  </si>
  <si>
    <t>O2P_OPP_14_Logoff</t>
  </si>
  <si>
    <t>Pass Transactions</t>
  </si>
  <si>
    <t>Login, ID&amp;V, Add Opportunity, Save Opportunity, Delete Opportunity</t>
  </si>
  <si>
    <t>Login, ID&amp;V, Add Case, Save Case, View Case, Delete Case</t>
  </si>
  <si>
    <t>Total Pass Transactions in 1hr</t>
  </si>
  <si>
    <t>Total Users</t>
  </si>
  <si>
    <t>Failed users due to login issue</t>
  </si>
  <si>
    <t>Remaining users</t>
  </si>
  <si>
    <t>Error Rate</t>
  </si>
  <si>
    <r>
      <rPr>
        <b/>
        <sz val="11"/>
        <color theme="1"/>
        <rFont val="Calibri"/>
        <family val="2"/>
        <scheme val="minor"/>
      </rPr>
      <t>Errors Received:</t>
    </r>
    <r>
      <rPr>
        <sz val="11"/>
        <color theme="1"/>
        <rFont val="Calibri"/>
        <family val="2"/>
        <scheme val="minor"/>
      </rPr>
      <t xml:space="preserve">
BEM Exception while selecting a customer
Internal Server Error at login. Can be due to 50 invalid usernames</t>
    </r>
  </si>
  <si>
    <r>
      <rPr>
        <b/>
        <sz val="11"/>
        <color theme="1"/>
        <rFont val="Calibri"/>
        <family val="2"/>
        <scheme val="minor"/>
      </rPr>
      <t>Errors Received:</t>
    </r>
    <r>
      <rPr>
        <sz val="11"/>
        <color theme="1"/>
        <rFont val="Calibri"/>
        <family val="2"/>
        <scheme val="minor"/>
      </rPr>
      <t xml:space="preserve">
BEM Exception while selecting a customer</t>
    </r>
  </si>
  <si>
    <t>Total Pass Transactions in 30min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</si>
</sst>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Fill="1" applyBorder="1"/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F7A6-BE1E-4F6A-AB5D-A32705D0C7E1}">
  <dimension ref="A1:I40"/>
  <sheetViews>
    <sheetView workbookViewId="0">
      <selection activeCell="J4" sqref="J4"/>
    </sheetView>
  </sheetViews>
  <sheetFormatPr defaultRowHeight="15" x14ac:dyDescent="0.25"/>
  <cols>
    <col min="1" max="1" width="28.85546875" bestFit="1" customWidth="1"/>
    <col min="8" max="8" width="11.28515625" bestFit="1" customWidth="1"/>
    <col min="9" max="9" width="16.42578125" bestFit="1" customWidth="1"/>
  </cols>
  <sheetData>
    <row r="1" spans="1:9" x14ac:dyDescent="0.25">
      <c r="A1" s="9" t="s">
        <v>39</v>
      </c>
      <c r="B1" s="10"/>
      <c r="C1" s="10"/>
      <c r="D1" s="10"/>
      <c r="E1" s="10"/>
      <c r="F1" s="10"/>
      <c r="G1" s="10"/>
      <c r="H1" s="10"/>
      <c r="I1" s="11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37</v>
      </c>
    </row>
    <row r="3" spans="1:9" x14ac:dyDescent="0.25">
      <c r="A3" s="1" t="s">
        <v>8</v>
      </c>
      <c r="B3" s="2">
        <v>1674</v>
      </c>
      <c r="C3" s="2">
        <v>161716</v>
      </c>
      <c r="D3" s="2">
        <v>425796</v>
      </c>
      <c r="E3" s="2">
        <v>108</v>
      </c>
      <c r="F3" s="2">
        <v>632847</v>
      </c>
      <c r="G3" s="3">
        <v>0.16069</v>
      </c>
      <c r="H3" s="2">
        <v>0.33716000000000002</v>
      </c>
      <c r="I3" s="6">
        <f>B3 - (B3*(G3/100))*100</f>
        <v>1405.00494</v>
      </c>
    </row>
    <row r="4" spans="1:9" x14ac:dyDescent="0.25">
      <c r="A4" s="1" t="s">
        <v>9</v>
      </c>
      <c r="B4" s="2">
        <v>1320</v>
      </c>
      <c r="C4" s="2">
        <v>234417</v>
      </c>
      <c r="D4" s="2">
        <v>658090</v>
      </c>
      <c r="E4" s="2">
        <v>5</v>
      </c>
      <c r="F4" s="2">
        <v>1305442</v>
      </c>
      <c r="G4" s="3">
        <v>0.63561000000000001</v>
      </c>
      <c r="H4" s="2">
        <v>0.26743</v>
      </c>
      <c r="I4" s="6">
        <f>B4 - (B4*(G4/100))*100</f>
        <v>480.99479999999994</v>
      </c>
    </row>
    <row r="5" spans="1:9" x14ac:dyDescent="0.25">
      <c r="A5" s="1" t="s">
        <v>10</v>
      </c>
      <c r="B5" s="2">
        <v>475</v>
      </c>
      <c r="C5" s="2">
        <v>45961</v>
      </c>
      <c r="D5" s="2">
        <v>115174</v>
      </c>
      <c r="E5" s="2">
        <v>0</v>
      </c>
      <c r="F5" s="2">
        <v>337353</v>
      </c>
      <c r="G5" s="3">
        <v>6.5259999999999999E-2</v>
      </c>
      <c r="H5" s="2">
        <v>9.6500000000000002E-2</v>
      </c>
      <c r="I5" s="6">
        <f t="shared" ref="I5:I17" si="0">B5 - (B5*(G5/100))*100</f>
        <v>444.00150000000002</v>
      </c>
    </row>
    <row r="6" spans="1:9" x14ac:dyDescent="0.25">
      <c r="A6" s="1" t="s">
        <v>11</v>
      </c>
      <c r="B6" s="2">
        <v>428</v>
      </c>
      <c r="C6" s="2">
        <v>86538</v>
      </c>
      <c r="D6" s="2">
        <v>225246</v>
      </c>
      <c r="E6" s="2">
        <v>420</v>
      </c>
      <c r="F6" s="2">
        <v>481318</v>
      </c>
      <c r="G6" s="3">
        <v>8.1780000000000005E-2</v>
      </c>
      <c r="H6" s="2">
        <v>8.677E-2</v>
      </c>
      <c r="I6" s="6">
        <f t="shared" si="0"/>
        <v>392.99815999999998</v>
      </c>
    </row>
    <row r="7" spans="1:9" x14ac:dyDescent="0.25">
      <c r="A7" s="1" t="s">
        <v>12</v>
      </c>
      <c r="B7" s="2">
        <v>377</v>
      </c>
      <c r="C7" s="2">
        <v>98001</v>
      </c>
      <c r="D7" s="2">
        <v>276507</v>
      </c>
      <c r="E7" s="2">
        <v>368</v>
      </c>
      <c r="F7" s="2">
        <v>523517</v>
      </c>
      <c r="G7" s="3">
        <v>0.29443000000000003</v>
      </c>
      <c r="H7" s="2">
        <v>7.7520000000000006E-2</v>
      </c>
      <c r="I7" s="6">
        <f t="shared" si="0"/>
        <v>265.99988999999999</v>
      </c>
    </row>
    <row r="8" spans="1:9" x14ac:dyDescent="0.25">
      <c r="A8" s="1" t="s">
        <v>13</v>
      </c>
      <c r="B8" s="2">
        <v>256</v>
      </c>
      <c r="C8" s="2">
        <v>145253</v>
      </c>
      <c r="D8" s="2">
        <v>464343</v>
      </c>
      <c r="E8" s="2">
        <v>104</v>
      </c>
      <c r="F8" s="2">
        <v>704671</v>
      </c>
      <c r="G8" s="3">
        <v>0.26562000000000002</v>
      </c>
      <c r="H8" s="2">
        <v>5.2400000000000002E-2</v>
      </c>
      <c r="I8" s="6">
        <f t="shared" si="0"/>
        <v>188.00128000000001</v>
      </c>
    </row>
    <row r="9" spans="1:9" x14ac:dyDescent="0.25">
      <c r="A9" s="1" t="s">
        <v>14</v>
      </c>
      <c r="B9" s="2">
        <v>186</v>
      </c>
      <c r="C9" s="2">
        <v>109161</v>
      </c>
      <c r="D9" s="2">
        <v>351867</v>
      </c>
      <c r="E9" s="2">
        <v>344</v>
      </c>
      <c r="F9" s="2">
        <v>644483</v>
      </c>
      <c r="G9" s="3">
        <v>9.6769999999999995E-2</v>
      </c>
      <c r="H9" s="2">
        <v>3.8449999999999998E-2</v>
      </c>
      <c r="I9" s="6">
        <f t="shared" si="0"/>
        <v>168.00077999999999</v>
      </c>
    </row>
    <row r="10" spans="1:9" x14ac:dyDescent="0.25">
      <c r="A10" s="1" t="s">
        <v>15</v>
      </c>
      <c r="B10" s="2">
        <v>167</v>
      </c>
      <c r="C10" s="2">
        <v>24059</v>
      </c>
      <c r="D10" s="2">
        <v>78624</v>
      </c>
      <c r="E10" s="2">
        <v>30</v>
      </c>
      <c r="F10" s="2">
        <v>213024</v>
      </c>
      <c r="G10" s="3">
        <v>2.9940000000000001E-2</v>
      </c>
      <c r="H10" s="2">
        <v>3.4569999999999997E-2</v>
      </c>
      <c r="I10" s="6">
        <f t="shared" si="0"/>
        <v>162.00002000000001</v>
      </c>
    </row>
    <row r="11" spans="1:9" x14ac:dyDescent="0.25">
      <c r="A11" s="1" t="s">
        <v>16</v>
      </c>
      <c r="B11" s="2">
        <v>160</v>
      </c>
      <c r="C11" s="2">
        <v>69458</v>
      </c>
      <c r="D11" s="2">
        <v>171670</v>
      </c>
      <c r="E11" s="2">
        <v>83</v>
      </c>
      <c r="F11" s="2">
        <v>541465</v>
      </c>
      <c r="G11" s="3">
        <v>0.32500000000000001</v>
      </c>
      <c r="H11" s="2">
        <v>3.3189999999999997E-2</v>
      </c>
      <c r="I11" s="6">
        <f t="shared" si="0"/>
        <v>108</v>
      </c>
    </row>
    <row r="12" spans="1:9" x14ac:dyDescent="0.25">
      <c r="A12" s="1" t="s">
        <v>17</v>
      </c>
      <c r="B12" s="2">
        <v>108</v>
      </c>
      <c r="C12" s="2">
        <v>47986</v>
      </c>
      <c r="D12" s="2">
        <v>135137</v>
      </c>
      <c r="E12" s="2">
        <v>647</v>
      </c>
      <c r="F12" s="2">
        <v>435541</v>
      </c>
      <c r="G12" s="3">
        <v>3.7039999999999997E-2</v>
      </c>
      <c r="H12" s="2">
        <v>2.23E-2</v>
      </c>
      <c r="I12" s="6">
        <f t="shared" si="0"/>
        <v>103.99968</v>
      </c>
    </row>
    <row r="13" spans="1:9" x14ac:dyDescent="0.25">
      <c r="A13" s="1" t="s">
        <v>18</v>
      </c>
      <c r="B13" s="2">
        <v>103</v>
      </c>
      <c r="C13" s="2">
        <v>58620</v>
      </c>
      <c r="D13" s="2">
        <v>190399</v>
      </c>
      <c r="E13" s="2">
        <v>1199</v>
      </c>
      <c r="F13" s="2">
        <v>464272</v>
      </c>
      <c r="G13" s="3">
        <v>2.913E-2</v>
      </c>
      <c r="H13" s="2">
        <v>2.1360000000000001E-2</v>
      </c>
      <c r="I13" s="6">
        <f t="shared" si="0"/>
        <v>99.999610000000004</v>
      </c>
    </row>
    <row r="14" spans="1:9" x14ac:dyDescent="0.25">
      <c r="A14" s="1" t="s">
        <v>19</v>
      </c>
      <c r="B14" s="2">
        <v>99</v>
      </c>
      <c r="C14" s="2">
        <v>46106</v>
      </c>
      <c r="D14" s="2">
        <v>132021</v>
      </c>
      <c r="E14" s="2">
        <v>451</v>
      </c>
      <c r="F14" s="2">
        <v>334171</v>
      </c>
      <c r="G14" s="3">
        <v>5.0509999999999999E-2</v>
      </c>
      <c r="H14" s="2">
        <v>2.138E-2</v>
      </c>
      <c r="I14" s="6">
        <f t="shared" si="0"/>
        <v>93.999510000000001</v>
      </c>
    </row>
    <row r="15" spans="1:9" x14ac:dyDescent="0.25">
      <c r="A15" s="1" t="s">
        <v>20</v>
      </c>
      <c r="B15" s="2">
        <v>94</v>
      </c>
      <c r="C15" s="2">
        <v>75852</v>
      </c>
      <c r="D15" s="2">
        <v>187203</v>
      </c>
      <c r="E15" s="2">
        <v>592</v>
      </c>
      <c r="F15" s="2">
        <v>537248</v>
      </c>
      <c r="G15" s="3">
        <v>0.15956999999999999</v>
      </c>
      <c r="H15" s="2">
        <v>1.9859999999999999E-2</v>
      </c>
      <c r="I15" s="6">
        <f t="shared" si="0"/>
        <v>79.000420000000005</v>
      </c>
    </row>
    <row r="16" spans="1:9" x14ac:dyDescent="0.25">
      <c r="A16" s="1" t="s">
        <v>21</v>
      </c>
      <c r="B16" s="2">
        <v>78</v>
      </c>
      <c r="C16" s="2">
        <v>107298</v>
      </c>
      <c r="D16" s="2">
        <v>361903</v>
      </c>
      <c r="E16" s="2">
        <v>202</v>
      </c>
      <c r="F16" s="2">
        <v>643598</v>
      </c>
      <c r="G16" s="3">
        <v>8.974E-2</v>
      </c>
      <c r="H16" s="2">
        <v>1.712E-2</v>
      </c>
      <c r="I16" s="6">
        <f t="shared" si="0"/>
        <v>71.000280000000004</v>
      </c>
    </row>
    <row r="17" spans="1:9" x14ac:dyDescent="0.25">
      <c r="A17" s="1" t="s">
        <v>22</v>
      </c>
      <c r="B17" s="2">
        <v>71</v>
      </c>
      <c r="C17" s="2">
        <v>14900</v>
      </c>
      <c r="D17" s="2">
        <v>38321</v>
      </c>
      <c r="E17" s="2">
        <v>1</v>
      </c>
      <c r="F17" s="2">
        <v>115422</v>
      </c>
      <c r="G17" s="3">
        <v>0</v>
      </c>
      <c r="H17" s="2">
        <v>1.5520000000000001E-2</v>
      </c>
      <c r="I17" s="6">
        <f t="shared" si="0"/>
        <v>71</v>
      </c>
    </row>
    <row r="18" spans="1:9" ht="8.25" customHeight="1" x14ac:dyDescent="0.25">
      <c r="A18" s="17"/>
      <c r="B18" s="18"/>
      <c r="C18" s="18"/>
      <c r="D18" s="18"/>
      <c r="E18" s="18"/>
      <c r="F18" s="18"/>
      <c r="G18" s="18"/>
      <c r="H18" s="18"/>
      <c r="I18" s="19"/>
    </row>
    <row r="19" spans="1:9" x14ac:dyDescent="0.25">
      <c r="A19" s="9" t="s">
        <v>38</v>
      </c>
      <c r="B19" s="10"/>
      <c r="C19" s="10"/>
      <c r="D19" s="10"/>
      <c r="E19" s="10"/>
      <c r="F19" s="10"/>
      <c r="G19" s="10"/>
      <c r="H19" s="10"/>
      <c r="I19" s="11"/>
    </row>
    <row r="20" spans="1:9" x14ac:dyDescent="0.25">
      <c r="A20" s="1" t="s">
        <v>23</v>
      </c>
      <c r="B20" s="2">
        <v>1792</v>
      </c>
      <c r="C20" s="2">
        <v>157213</v>
      </c>
      <c r="D20" s="2">
        <v>418158</v>
      </c>
      <c r="E20" s="2">
        <v>131</v>
      </c>
      <c r="F20" s="2">
        <v>647432</v>
      </c>
      <c r="G20" s="3">
        <v>0.16295000000000001</v>
      </c>
      <c r="H20" s="2">
        <v>0.36112</v>
      </c>
      <c r="I20" s="6">
        <f t="shared" ref="I20:I33" si="1">B20 - (B20*(G20/100))*100</f>
        <v>1499.9936</v>
      </c>
    </row>
    <row r="21" spans="1:9" x14ac:dyDescent="0.25">
      <c r="A21" s="1" t="s">
        <v>24</v>
      </c>
      <c r="B21" s="2">
        <v>1409</v>
      </c>
      <c r="C21" s="2">
        <v>224920</v>
      </c>
      <c r="D21" s="2">
        <v>642281</v>
      </c>
      <c r="E21" s="2">
        <v>5</v>
      </c>
      <c r="F21" s="2">
        <v>1313701</v>
      </c>
      <c r="G21" s="3">
        <v>0.67352999999999996</v>
      </c>
      <c r="H21" s="2">
        <v>0.28488999999999998</v>
      </c>
      <c r="I21" s="6">
        <f t="shared" si="1"/>
        <v>459.99622999999997</v>
      </c>
    </row>
    <row r="22" spans="1:9" x14ac:dyDescent="0.25">
      <c r="A22" s="1" t="s">
        <v>25</v>
      </c>
      <c r="B22" s="2">
        <v>459</v>
      </c>
      <c r="C22" s="2">
        <v>45311</v>
      </c>
      <c r="D22" s="2">
        <v>124901</v>
      </c>
      <c r="E22" s="2">
        <v>0</v>
      </c>
      <c r="F22" s="2">
        <v>358928</v>
      </c>
      <c r="G22" s="3">
        <v>6.5360000000000001E-2</v>
      </c>
      <c r="H22" s="2">
        <v>9.282E-2</v>
      </c>
      <c r="I22" s="6">
        <f t="shared" si="1"/>
        <v>428.99975999999998</v>
      </c>
    </row>
    <row r="23" spans="1:9" x14ac:dyDescent="0.25">
      <c r="A23" s="1" t="s">
        <v>26</v>
      </c>
      <c r="B23" s="2">
        <v>399</v>
      </c>
      <c r="C23" s="2">
        <v>88067</v>
      </c>
      <c r="D23" s="2">
        <v>231119</v>
      </c>
      <c r="E23" s="2">
        <v>2082</v>
      </c>
      <c r="F23" s="2">
        <v>460392</v>
      </c>
      <c r="G23" s="3">
        <v>9.2730000000000007E-2</v>
      </c>
      <c r="H23" s="2">
        <v>8.0879999999999994E-2</v>
      </c>
      <c r="I23" s="6">
        <f t="shared" si="1"/>
        <v>362.00072999999998</v>
      </c>
    </row>
    <row r="24" spans="1:9" x14ac:dyDescent="0.25">
      <c r="A24" s="1" t="s">
        <v>27</v>
      </c>
      <c r="B24" s="2">
        <v>347</v>
      </c>
      <c r="C24" s="2">
        <v>72584</v>
      </c>
      <c r="D24" s="2">
        <v>198784</v>
      </c>
      <c r="E24" s="2">
        <v>427</v>
      </c>
      <c r="F24" s="2">
        <v>485317</v>
      </c>
      <c r="G24" s="3">
        <v>0.23343</v>
      </c>
      <c r="H24" s="2">
        <v>7.0610000000000006E-2</v>
      </c>
      <c r="I24" s="6">
        <f t="shared" si="1"/>
        <v>265.99978999999996</v>
      </c>
    </row>
    <row r="25" spans="1:9" x14ac:dyDescent="0.25">
      <c r="A25" s="1" t="s">
        <v>28</v>
      </c>
      <c r="B25" s="2">
        <v>255</v>
      </c>
      <c r="C25" s="2">
        <v>135199</v>
      </c>
      <c r="D25" s="2">
        <v>439646</v>
      </c>
      <c r="E25" s="2">
        <v>167</v>
      </c>
      <c r="F25" s="2">
        <v>793548</v>
      </c>
      <c r="G25" s="3">
        <v>0.37647000000000003</v>
      </c>
      <c r="H25" s="2">
        <v>5.228E-2</v>
      </c>
      <c r="I25" s="6">
        <f t="shared" si="1"/>
        <v>159.00014999999999</v>
      </c>
    </row>
    <row r="26" spans="1:9" x14ac:dyDescent="0.25">
      <c r="A26" s="1" t="s">
        <v>29</v>
      </c>
      <c r="B26" s="2">
        <v>159</v>
      </c>
      <c r="C26" s="2">
        <v>64240</v>
      </c>
      <c r="D26" s="2">
        <v>179497</v>
      </c>
      <c r="E26" s="2">
        <v>192</v>
      </c>
      <c r="F26" s="2">
        <v>519030</v>
      </c>
      <c r="G26" s="3">
        <v>5.0310000000000001E-2</v>
      </c>
      <c r="H26" s="2">
        <v>3.3790000000000001E-2</v>
      </c>
      <c r="I26" s="6">
        <f t="shared" si="1"/>
        <v>151.00071</v>
      </c>
    </row>
    <row r="27" spans="1:9" x14ac:dyDescent="0.25">
      <c r="A27" s="1" t="s">
        <v>30</v>
      </c>
      <c r="B27" s="2">
        <v>150</v>
      </c>
      <c r="C27" s="2">
        <v>81767</v>
      </c>
      <c r="D27" s="2">
        <v>258174</v>
      </c>
      <c r="E27" s="2">
        <v>77</v>
      </c>
      <c r="F27" s="2">
        <v>550379</v>
      </c>
      <c r="G27" s="3">
        <v>0.1</v>
      </c>
      <c r="H27" s="2">
        <v>3.1060000000000001E-2</v>
      </c>
      <c r="I27" s="6">
        <f t="shared" si="1"/>
        <v>135</v>
      </c>
    </row>
    <row r="28" spans="1:9" x14ac:dyDescent="0.25">
      <c r="A28" s="1" t="s">
        <v>31</v>
      </c>
      <c r="B28" s="2">
        <v>132</v>
      </c>
      <c r="C28" s="2">
        <v>117600</v>
      </c>
      <c r="D28" s="2">
        <v>467900</v>
      </c>
      <c r="E28" s="2">
        <v>320</v>
      </c>
      <c r="F28" s="2">
        <v>710679</v>
      </c>
      <c r="G28" s="3">
        <v>0.13636000000000001</v>
      </c>
      <c r="H28" s="2">
        <v>2.8150000000000001E-2</v>
      </c>
      <c r="I28" s="6">
        <f t="shared" si="1"/>
        <v>114.00048</v>
      </c>
    </row>
    <row r="29" spans="1:9" x14ac:dyDescent="0.25">
      <c r="A29" s="1" t="s">
        <v>32</v>
      </c>
      <c r="B29" s="2">
        <v>114</v>
      </c>
      <c r="C29" s="2">
        <v>43217</v>
      </c>
      <c r="D29" s="2">
        <v>142564</v>
      </c>
      <c r="E29" s="2">
        <v>230</v>
      </c>
      <c r="F29" s="2">
        <v>375274</v>
      </c>
      <c r="G29" s="3">
        <v>7.0180000000000006E-2</v>
      </c>
      <c r="H29" s="2">
        <v>2.3769999999999999E-2</v>
      </c>
      <c r="I29" s="6">
        <f t="shared" si="1"/>
        <v>105.99948000000001</v>
      </c>
    </row>
    <row r="30" spans="1:9" x14ac:dyDescent="0.25">
      <c r="A30" s="1" t="s">
        <v>33</v>
      </c>
      <c r="B30" s="2">
        <v>105</v>
      </c>
      <c r="C30" s="2">
        <v>63060</v>
      </c>
      <c r="D30" s="2">
        <v>138410</v>
      </c>
      <c r="E30" s="2">
        <v>62</v>
      </c>
      <c r="F30" s="2">
        <v>564679</v>
      </c>
      <c r="G30" s="3">
        <v>0.11429</v>
      </c>
      <c r="H30" s="2">
        <v>2.2870000000000001E-2</v>
      </c>
      <c r="I30" s="6">
        <f t="shared" si="1"/>
        <v>92.999549999999999</v>
      </c>
    </row>
    <row r="31" spans="1:9" x14ac:dyDescent="0.25">
      <c r="A31" s="1" t="s">
        <v>34</v>
      </c>
      <c r="B31" s="2">
        <v>92</v>
      </c>
      <c r="C31" s="2">
        <v>86814</v>
      </c>
      <c r="D31" s="2">
        <v>240648</v>
      </c>
      <c r="E31" s="2">
        <v>283</v>
      </c>
      <c r="F31" s="2">
        <v>674413</v>
      </c>
      <c r="G31" s="3">
        <v>0.11957</v>
      </c>
      <c r="H31" s="2">
        <v>1.9879999999999998E-2</v>
      </c>
      <c r="I31" s="6">
        <f t="shared" si="1"/>
        <v>80.999560000000002</v>
      </c>
    </row>
    <row r="32" spans="1:9" x14ac:dyDescent="0.25">
      <c r="A32" s="1" t="s">
        <v>35</v>
      </c>
      <c r="B32" s="2">
        <v>81</v>
      </c>
      <c r="C32" s="2">
        <v>64651</v>
      </c>
      <c r="D32" s="2">
        <v>132295</v>
      </c>
      <c r="E32" s="2">
        <v>152</v>
      </c>
      <c r="F32" s="2">
        <v>625631</v>
      </c>
      <c r="G32" s="3">
        <v>0.11111</v>
      </c>
      <c r="H32" s="2">
        <v>1.704E-2</v>
      </c>
      <c r="I32" s="6">
        <f t="shared" si="1"/>
        <v>72.00009</v>
      </c>
    </row>
    <row r="33" spans="1:9" x14ac:dyDescent="0.25">
      <c r="A33" s="1" t="s">
        <v>36</v>
      </c>
      <c r="B33" s="2">
        <v>71</v>
      </c>
      <c r="C33" s="2">
        <v>51598</v>
      </c>
      <c r="D33" s="2">
        <v>110665</v>
      </c>
      <c r="E33" s="2">
        <v>16</v>
      </c>
      <c r="F33" s="2">
        <v>543756</v>
      </c>
      <c r="G33" s="3">
        <v>2.8170000000000001E-2</v>
      </c>
      <c r="H33" s="2">
        <v>2.9909999999999999E-2</v>
      </c>
      <c r="I33" s="6">
        <f t="shared" si="1"/>
        <v>68.999930000000006</v>
      </c>
    </row>
    <row r="34" spans="1:9" ht="9.7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2" t="s">
        <v>40</v>
      </c>
      <c r="B35" s="12"/>
      <c r="C35" s="12"/>
      <c r="D35" s="12"/>
      <c r="E35" s="12"/>
      <c r="F35" s="12"/>
      <c r="G35" s="12"/>
      <c r="H35" s="12"/>
      <c r="I35" s="7">
        <v>8131</v>
      </c>
    </row>
    <row r="36" spans="1:9" x14ac:dyDescent="0.25">
      <c r="A36" s="12" t="s">
        <v>41</v>
      </c>
      <c r="B36" s="12"/>
      <c r="C36" s="12"/>
      <c r="D36" s="12"/>
      <c r="E36" s="12"/>
      <c r="F36" s="12"/>
      <c r="G36" s="12"/>
      <c r="H36" s="12"/>
      <c r="I36" s="7">
        <v>400</v>
      </c>
    </row>
    <row r="37" spans="1:9" x14ac:dyDescent="0.25">
      <c r="A37" s="12" t="s">
        <v>42</v>
      </c>
      <c r="B37" s="12"/>
      <c r="C37" s="12"/>
      <c r="D37" s="12"/>
      <c r="E37" s="12"/>
      <c r="F37" s="12"/>
      <c r="G37" s="12"/>
      <c r="H37" s="12"/>
      <c r="I37" s="7">
        <v>50</v>
      </c>
    </row>
    <row r="38" spans="1:9" x14ac:dyDescent="0.25">
      <c r="A38" s="12" t="s">
        <v>43</v>
      </c>
      <c r="B38" s="12"/>
      <c r="C38" s="12"/>
      <c r="D38" s="12"/>
      <c r="E38" s="12"/>
      <c r="F38" s="12"/>
      <c r="G38" s="12"/>
      <c r="H38" s="12"/>
      <c r="I38" s="7">
        <v>350</v>
      </c>
    </row>
    <row r="39" spans="1:9" x14ac:dyDescent="0.25">
      <c r="A39" s="12" t="s">
        <v>44</v>
      </c>
      <c r="B39" s="12"/>
      <c r="C39" s="12"/>
      <c r="D39" s="12"/>
      <c r="E39" s="12"/>
      <c r="F39" s="12"/>
      <c r="G39" s="12"/>
      <c r="H39" s="12"/>
      <c r="I39" s="8">
        <v>0.16</v>
      </c>
    </row>
    <row r="40" spans="1:9" ht="52.5" customHeight="1" x14ac:dyDescent="0.25">
      <c r="A40" s="14" t="s">
        <v>45</v>
      </c>
      <c r="B40" s="15"/>
      <c r="C40" s="15"/>
      <c r="D40" s="15"/>
      <c r="E40" s="15"/>
      <c r="F40" s="15"/>
      <c r="G40" s="15"/>
      <c r="H40" s="15"/>
      <c r="I40" s="16"/>
    </row>
  </sheetData>
  <mergeCells count="10">
    <mergeCell ref="A39:H39"/>
    <mergeCell ref="A40:I40"/>
    <mergeCell ref="A18:I18"/>
    <mergeCell ref="A19:I19"/>
    <mergeCell ref="A1:I1"/>
    <mergeCell ref="A35:H35"/>
    <mergeCell ref="A36:H36"/>
    <mergeCell ref="A37:H37"/>
    <mergeCell ref="A38:H38"/>
    <mergeCell ref="A34:I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B3F1-C700-4DAF-8486-E06D83FCADB6}">
  <dimension ref="A1:I38"/>
  <sheetViews>
    <sheetView tabSelected="1" topLeftCell="A22" workbookViewId="0">
      <selection activeCell="A36" sqref="A36:H36"/>
    </sheetView>
  </sheetViews>
  <sheetFormatPr defaultRowHeight="15" x14ac:dyDescent="0.25"/>
  <cols>
    <col min="1" max="1" width="28.85546875" bestFit="1" customWidth="1"/>
    <col min="8" max="8" width="11.28515625" bestFit="1" customWidth="1"/>
    <col min="9" max="9" width="16.42578125" bestFit="1" customWidth="1"/>
  </cols>
  <sheetData>
    <row r="1" spans="1:9" x14ac:dyDescent="0.25">
      <c r="A1" s="9" t="s">
        <v>39</v>
      </c>
      <c r="B1" s="10"/>
      <c r="C1" s="10"/>
      <c r="D1" s="10"/>
      <c r="E1" s="10"/>
      <c r="F1" s="10"/>
      <c r="G1" s="10"/>
      <c r="H1" s="10"/>
      <c r="I1" s="11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37</v>
      </c>
    </row>
    <row r="3" spans="1:9" x14ac:dyDescent="0.25">
      <c r="A3" s="1" t="s">
        <v>8</v>
      </c>
      <c r="B3" s="2">
        <v>609</v>
      </c>
      <c r="C3" s="2">
        <v>134442</v>
      </c>
      <c r="D3" s="2">
        <v>372728</v>
      </c>
      <c r="E3" s="2">
        <v>97</v>
      </c>
      <c r="F3" s="2">
        <v>498472</v>
      </c>
      <c r="G3" s="3">
        <v>4.1050000000000003E-2</v>
      </c>
      <c r="H3" s="2">
        <v>0.28270000000000001</v>
      </c>
      <c r="I3" s="6">
        <f>B3 - (B3*(G3/100))*100</f>
        <v>584.00054999999998</v>
      </c>
    </row>
    <row r="4" spans="1:9" x14ac:dyDescent="0.25">
      <c r="A4" s="1" t="s">
        <v>9</v>
      </c>
      <c r="B4" s="2">
        <v>419</v>
      </c>
      <c r="C4" s="2">
        <v>176315</v>
      </c>
      <c r="D4" s="2">
        <v>474860</v>
      </c>
      <c r="E4" s="2">
        <v>244</v>
      </c>
      <c r="F4" s="2">
        <v>901860</v>
      </c>
      <c r="G4" s="3">
        <v>0.34128999999999998</v>
      </c>
      <c r="H4" s="2">
        <v>0.19667999999999999</v>
      </c>
      <c r="I4" s="6">
        <f>B4 - (B4*(G4/100))*100</f>
        <v>275.99949000000004</v>
      </c>
    </row>
    <row r="5" spans="1:9" x14ac:dyDescent="0.25">
      <c r="A5" s="1" t="s">
        <v>10</v>
      </c>
      <c r="B5" s="2">
        <v>248</v>
      </c>
      <c r="C5" s="2">
        <v>23308</v>
      </c>
      <c r="D5" s="2">
        <v>60324</v>
      </c>
      <c r="E5" s="2">
        <v>0</v>
      </c>
      <c r="F5" s="2">
        <v>217139</v>
      </c>
      <c r="G5" s="3">
        <v>5.2420000000000001E-2</v>
      </c>
      <c r="H5" s="2">
        <v>0.11700000000000001</v>
      </c>
      <c r="I5" s="6">
        <f t="shared" ref="I5:I17" si="0">B5 - (B5*(G5/100))*100</f>
        <v>234.99984000000001</v>
      </c>
    </row>
    <row r="6" spans="1:9" x14ac:dyDescent="0.25">
      <c r="A6" s="1" t="s">
        <v>11</v>
      </c>
      <c r="B6" s="2">
        <v>218</v>
      </c>
      <c r="C6" s="2">
        <v>40559</v>
      </c>
      <c r="D6" s="2">
        <v>76588</v>
      </c>
      <c r="E6" s="2">
        <v>332</v>
      </c>
      <c r="F6" s="2">
        <v>200437</v>
      </c>
      <c r="G6" s="3">
        <v>5.9630000000000002E-2</v>
      </c>
      <c r="H6" s="2">
        <v>0.15525</v>
      </c>
      <c r="I6" s="6">
        <f t="shared" si="0"/>
        <v>205.00066000000001</v>
      </c>
    </row>
    <row r="7" spans="1:9" x14ac:dyDescent="0.25">
      <c r="A7" s="1" t="s">
        <v>12</v>
      </c>
      <c r="B7" s="2">
        <v>197</v>
      </c>
      <c r="C7" s="2">
        <v>42979</v>
      </c>
      <c r="D7" s="2">
        <v>129595</v>
      </c>
      <c r="E7" s="2">
        <v>313</v>
      </c>
      <c r="F7" s="2">
        <v>266834</v>
      </c>
      <c r="G7" s="3">
        <v>0.29948999999999998</v>
      </c>
      <c r="H7" s="2">
        <v>0.12367</v>
      </c>
      <c r="I7" s="6">
        <f t="shared" si="0"/>
        <v>138.00047000000001</v>
      </c>
    </row>
    <row r="8" spans="1:9" x14ac:dyDescent="0.25">
      <c r="A8" s="1" t="s">
        <v>13</v>
      </c>
      <c r="B8" s="2">
        <v>132</v>
      </c>
      <c r="C8" s="2">
        <v>42815</v>
      </c>
      <c r="D8" s="2">
        <v>112825</v>
      </c>
      <c r="E8" s="2">
        <v>81</v>
      </c>
      <c r="F8" s="2">
        <v>352271</v>
      </c>
      <c r="G8" s="3">
        <v>0.21970000000000001</v>
      </c>
      <c r="H8" s="2">
        <v>9.6710000000000004E-2</v>
      </c>
      <c r="I8" s="6">
        <f t="shared" si="0"/>
        <v>102.9996</v>
      </c>
    </row>
    <row r="9" spans="1:9" x14ac:dyDescent="0.25">
      <c r="A9" s="1" t="s">
        <v>14</v>
      </c>
      <c r="B9" s="2">
        <v>101</v>
      </c>
      <c r="C9" s="2">
        <v>31353</v>
      </c>
      <c r="D9" s="2">
        <v>54953</v>
      </c>
      <c r="E9" s="2">
        <v>341</v>
      </c>
      <c r="F9" s="2">
        <v>256064</v>
      </c>
      <c r="G9" s="3">
        <v>5.9409999999999998E-2</v>
      </c>
      <c r="H9" s="2">
        <v>7.553E-2</v>
      </c>
      <c r="I9" s="6">
        <f t="shared" si="0"/>
        <v>94.999589999999998</v>
      </c>
    </row>
    <row r="10" spans="1:9" x14ac:dyDescent="0.25">
      <c r="A10" s="1" t="s">
        <v>15</v>
      </c>
      <c r="B10" s="2">
        <v>94</v>
      </c>
      <c r="C10" s="2">
        <v>7675</v>
      </c>
      <c r="D10" s="2">
        <v>16456</v>
      </c>
      <c r="E10" s="2">
        <v>18</v>
      </c>
      <c r="F10" s="2">
        <v>113826</v>
      </c>
      <c r="G10" s="3">
        <v>1.064E-2</v>
      </c>
      <c r="H10" s="2">
        <v>7.2929999999999995E-2</v>
      </c>
      <c r="I10" s="6">
        <f t="shared" si="0"/>
        <v>92.999840000000006</v>
      </c>
    </row>
    <row r="11" spans="1:9" x14ac:dyDescent="0.25">
      <c r="A11" s="1" t="s">
        <v>16</v>
      </c>
      <c r="B11" s="2">
        <v>91</v>
      </c>
      <c r="C11" s="2">
        <v>18277</v>
      </c>
      <c r="D11" s="2">
        <v>34293</v>
      </c>
      <c r="E11" s="2">
        <v>101</v>
      </c>
      <c r="F11" s="2">
        <v>99540</v>
      </c>
      <c r="G11" s="3">
        <v>0.32967000000000002</v>
      </c>
      <c r="H11" s="2">
        <v>6.5549999999999997E-2</v>
      </c>
      <c r="I11" s="6">
        <f t="shared" si="0"/>
        <v>61.000030000000002</v>
      </c>
    </row>
    <row r="12" spans="1:9" x14ac:dyDescent="0.25">
      <c r="A12" s="1" t="s">
        <v>17</v>
      </c>
      <c r="B12" s="2">
        <v>60</v>
      </c>
      <c r="C12" s="2">
        <v>15275</v>
      </c>
      <c r="D12" s="2">
        <v>27593</v>
      </c>
      <c r="E12" s="2">
        <v>534</v>
      </c>
      <c r="F12" s="2">
        <v>204193</v>
      </c>
      <c r="G12" s="3">
        <v>0</v>
      </c>
      <c r="H12" s="2">
        <v>5.9029999999999999E-2</v>
      </c>
      <c r="I12" s="6">
        <f t="shared" si="0"/>
        <v>60</v>
      </c>
    </row>
    <row r="13" spans="1:9" x14ac:dyDescent="0.25">
      <c r="A13" s="1" t="s">
        <v>18</v>
      </c>
      <c r="B13" s="2">
        <v>58</v>
      </c>
      <c r="C13" s="2">
        <v>22789</v>
      </c>
      <c r="D13" s="2">
        <v>37660</v>
      </c>
      <c r="E13" s="2">
        <v>887</v>
      </c>
      <c r="F13" s="2">
        <v>246919</v>
      </c>
      <c r="G13" s="3">
        <v>0</v>
      </c>
      <c r="H13" s="2">
        <v>5.2229999999999999E-2</v>
      </c>
      <c r="I13" s="6">
        <f t="shared" si="0"/>
        <v>58</v>
      </c>
    </row>
    <row r="14" spans="1:9" x14ac:dyDescent="0.25">
      <c r="A14" s="1" t="s">
        <v>19</v>
      </c>
      <c r="B14" s="2">
        <v>57</v>
      </c>
      <c r="C14" s="2">
        <v>19725</v>
      </c>
      <c r="D14" s="2">
        <v>57429</v>
      </c>
      <c r="E14" s="2">
        <v>468</v>
      </c>
      <c r="F14" s="2">
        <v>95251</v>
      </c>
      <c r="G14" s="3">
        <v>1.754E-2</v>
      </c>
      <c r="H14" s="2">
        <v>4.8469999999999999E-2</v>
      </c>
      <c r="I14" s="6">
        <f t="shared" si="0"/>
        <v>56.000219999999999</v>
      </c>
    </row>
    <row r="15" spans="1:9" x14ac:dyDescent="0.25">
      <c r="A15" s="1" t="s">
        <v>20</v>
      </c>
      <c r="B15" s="2">
        <v>54</v>
      </c>
      <c r="C15" s="2">
        <v>47191</v>
      </c>
      <c r="D15" s="2">
        <v>211880</v>
      </c>
      <c r="E15" s="2">
        <v>822</v>
      </c>
      <c r="F15" s="2">
        <v>260264</v>
      </c>
      <c r="G15" s="3">
        <v>3.7039999999999997E-2</v>
      </c>
      <c r="H15" s="2">
        <v>4.3950000000000003E-2</v>
      </c>
      <c r="I15" s="6">
        <f t="shared" si="0"/>
        <v>51.999839999999999</v>
      </c>
    </row>
    <row r="16" spans="1:9" x14ac:dyDescent="0.25">
      <c r="A16" s="1" t="s">
        <v>21</v>
      </c>
      <c r="B16" s="2">
        <v>46</v>
      </c>
      <c r="C16" s="2">
        <v>55893</v>
      </c>
      <c r="D16" s="2">
        <v>117512</v>
      </c>
      <c r="E16" s="2">
        <v>192</v>
      </c>
      <c r="F16" s="2">
        <v>335772</v>
      </c>
      <c r="G16" s="3">
        <v>8.6959999999999996E-2</v>
      </c>
      <c r="H16" s="2">
        <v>4.1259999999999998E-2</v>
      </c>
      <c r="I16" s="6">
        <f t="shared" si="0"/>
        <v>41.999839999999999</v>
      </c>
    </row>
    <row r="17" spans="1:9" x14ac:dyDescent="0.25">
      <c r="A17" s="1" t="s">
        <v>22</v>
      </c>
      <c r="B17" s="2">
        <v>39</v>
      </c>
      <c r="C17" s="2">
        <v>4590</v>
      </c>
      <c r="D17" s="2">
        <v>13110</v>
      </c>
      <c r="E17" s="2">
        <v>1</v>
      </c>
      <c r="F17" s="2">
        <v>25386</v>
      </c>
      <c r="G17" s="3">
        <v>0</v>
      </c>
      <c r="H17" s="2">
        <v>4.0660000000000002E-2</v>
      </c>
      <c r="I17" s="6">
        <f t="shared" si="0"/>
        <v>39</v>
      </c>
    </row>
    <row r="18" spans="1:9" ht="8.25" customHeight="1" x14ac:dyDescent="0.25">
      <c r="A18" s="17"/>
      <c r="B18" s="18"/>
      <c r="C18" s="18"/>
      <c r="D18" s="18"/>
      <c r="E18" s="18"/>
      <c r="F18" s="18"/>
      <c r="G18" s="18"/>
      <c r="H18" s="18"/>
      <c r="I18" s="19"/>
    </row>
    <row r="19" spans="1:9" x14ac:dyDescent="0.25">
      <c r="A19" s="9" t="s">
        <v>38</v>
      </c>
      <c r="B19" s="10"/>
      <c r="C19" s="10"/>
      <c r="D19" s="10"/>
      <c r="E19" s="10"/>
      <c r="F19" s="10"/>
      <c r="G19" s="10"/>
      <c r="H19" s="10"/>
      <c r="I19" s="11"/>
    </row>
    <row r="20" spans="1:9" x14ac:dyDescent="0.25">
      <c r="A20" s="1" t="s">
        <v>23</v>
      </c>
      <c r="B20" s="2">
        <v>573</v>
      </c>
      <c r="C20" s="2">
        <v>125009</v>
      </c>
      <c r="D20" s="2">
        <v>316007</v>
      </c>
      <c r="E20" s="2">
        <v>123</v>
      </c>
      <c r="F20" s="2">
        <v>487622</v>
      </c>
      <c r="G20" s="3">
        <v>5.7590000000000002E-2</v>
      </c>
      <c r="H20" s="2">
        <v>0.27453</v>
      </c>
      <c r="I20" s="6">
        <f t="shared" ref="I20:I33" si="1">B20 - (B20*(G20/100))*100</f>
        <v>540.00093000000004</v>
      </c>
    </row>
    <row r="21" spans="1:9" x14ac:dyDescent="0.25">
      <c r="A21" s="1" t="s">
        <v>24</v>
      </c>
      <c r="B21" s="2">
        <v>392</v>
      </c>
      <c r="C21" s="2">
        <v>150849</v>
      </c>
      <c r="D21" s="2">
        <v>472531</v>
      </c>
      <c r="E21" s="2">
        <v>0</v>
      </c>
      <c r="F21" s="2">
        <v>902343</v>
      </c>
      <c r="G21" s="3">
        <v>0.43367</v>
      </c>
      <c r="H21" s="2">
        <v>0.19051999999999999</v>
      </c>
      <c r="I21" s="6">
        <f t="shared" si="1"/>
        <v>222.00136000000001</v>
      </c>
    </row>
    <row r="22" spans="1:9" x14ac:dyDescent="0.25">
      <c r="A22" s="1" t="s">
        <v>25</v>
      </c>
      <c r="B22" s="2">
        <v>201</v>
      </c>
      <c r="C22" s="2">
        <v>27708</v>
      </c>
      <c r="D22" s="2">
        <v>50716</v>
      </c>
      <c r="E22" s="2">
        <v>50</v>
      </c>
      <c r="F22" s="2">
        <v>934483</v>
      </c>
      <c r="G22" s="3">
        <v>2.9850000000000002E-2</v>
      </c>
      <c r="H22" s="2">
        <v>9.9519999999999997E-2</v>
      </c>
      <c r="I22" s="6">
        <f t="shared" si="1"/>
        <v>195.00014999999999</v>
      </c>
    </row>
    <row r="23" spans="1:9" x14ac:dyDescent="0.25">
      <c r="A23" s="1" t="s">
        <v>26</v>
      </c>
      <c r="B23" s="2">
        <v>181</v>
      </c>
      <c r="C23" s="2">
        <v>37295</v>
      </c>
      <c r="D23" s="2">
        <v>65940</v>
      </c>
      <c r="E23" s="2">
        <v>2109</v>
      </c>
      <c r="F23" s="2">
        <v>215466</v>
      </c>
      <c r="G23" s="3">
        <v>1.1050000000000001E-2</v>
      </c>
      <c r="H23" s="2">
        <v>0.13131999999999999</v>
      </c>
      <c r="I23" s="6">
        <f t="shared" si="1"/>
        <v>178.99995000000001</v>
      </c>
    </row>
    <row r="24" spans="1:9" x14ac:dyDescent="0.25">
      <c r="A24" s="1" t="s">
        <v>27</v>
      </c>
      <c r="B24" s="2">
        <v>174</v>
      </c>
      <c r="C24" s="2">
        <v>24461</v>
      </c>
      <c r="D24" s="2">
        <v>61764</v>
      </c>
      <c r="E24" s="2">
        <v>372</v>
      </c>
      <c r="F24" s="2">
        <v>250811</v>
      </c>
      <c r="G24" s="3">
        <v>0.18390999999999999</v>
      </c>
      <c r="H24" s="2">
        <v>0.11977</v>
      </c>
      <c r="I24" s="6">
        <f t="shared" si="1"/>
        <v>141.99966000000001</v>
      </c>
    </row>
    <row r="25" spans="1:9" x14ac:dyDescent="0.25">
      <c r="A25" s="1" t="s">
        <v>28</v>
      </c>
      <c r="B25" s="2">
        <v>138</v>
      </c>
      <c r="C25" s="2">
        <v>45764</v>
      </c>
      <c r="D25" s="2">
        <v>108641</v>
      </c>
      <c r="E25" s="2">
        <v>212</v>
      </c>
      <c r="F25" s="2">
        <v>293270</v>
      </c>
      <c r="G25" s="3">
        <v>0.25362000000000001</v>
      </c>
      <c r="H25" s="2">
        <v>9.6180000000000002E-2</v>
      </c>
      <c r="I25" s="6">
        <f t="shared" si="1"/>
        <v>103.00044</v>
      </c>
    </row>
    <row r="26" spans="1:9" x14ac:dyDescent="0.25">
      <c r="A26" s="1" t="s">
        <v>29</v>
      </c>
      <c r="B26" s="2">
        <v>100</v>
      </c>
      <c r="C26" s="2">
        <v>22237</v>
      </c>
      <c r="D26" s="2">
        <v>54471</v>
      </c>
      <c r="E26" s="2">
        <v>170</v>
      </c>
      <c r="F26" s="2">
        <v>251996</v>
      </c>
      <c r="G26" s="3">
        <v>0.03</v>
      </c>
      <c r="H26" s="2">
        <v>7.392E-2</v>
      </c>
      <c r="I26" s="6">
        <f t="shared" si="1"/>
        <v>97</v>
      </c>
    </row>
    <row r="27" spans="1:9" x14ac:dyDescent="0.25">
      <c r="A27" s="1" t="s">
        <v>30</v>
      </c>
      <c r="B27" s="2">
        <v>95</v>
      </c>
      <c r="C27" s="2">
        <v>36133</v>
      </c>
      <c r="D27" s="2">
        <v>63507</v>
      </c>
      <c r="E27" s="2">
        <v>83</v>
      </c>
      <c r="F27" s="2">
        <v>271720</v>
      </c>
      <c r="G27" s="3">
        <v>2.1049999999999999E-2</v>
      </c>
      <c r="H27" s="2">
        <v>8.1430000000000002E-2</v>
      </c>
      <c r="I27" s="6">
        <f t="shared" si="1"/>
        <v>93.000249999999994</v>
      </c>
    </row>
    <row r="28" spans="1:9" x14ac:dyDescent="0.25">
      <c r="A28" s="1" t="s">
        <v>31</v>
      </c>
      <c r="B28" s="2">
        <v>92</v>
      </c>
      <c r="C28" s="2">
        <v>55491</v>
      </c>
      <c r="D28" s="2">
        <v>161287</v>
      </c>
      <c r="E28" s="2">
        <v>438</v>
      </c>
      <c r="F28" s="2">
        <v>334834</v>
      </c>
      <c r="G28" s="3">
        <v>3.261E-2</v>
      </c>
      <c r="H28" s="2">
        <v>7.0919999999999997E-2</v>
      </c>
      <c r="I28" s="6">
        <f t="shared" si="1"/>
        <v>88.999880000000005</v>
      </c>
    </row>
    <row r="29" spans="1:9" x14ac:dyDescent="0.25">
      <c r="A29" s="1" t="s">
        <v>32</v>
      </c>
      <c r="B29" s="2">
        <v>86</v>
      </c>
      <c r="C29" s="2">
        <v>20049</v>
      </c>
      <c r="D29" s="2">
        <v>36720</v>
      </c>
      <c r="E29" s="2">
        <v>191</v>
      </c>
      <c r="F29" s="2">
        <v>191869</v>
      </c>
      <c r="G29" s="3">
        <v>3.4880000000000001E-2</v>
      </c>
      <c r="H29" s="2">
        <v>6.9430000000000006E-2</v>
      </c>
      <c r="I29" s="6">
        <f t="shared" si="1"/>
        <v>83.000320000000002</v>
      </c>
    </row>
    <row r="30" spans="1:9" x14ac:dyDescent="0.25">
      <c r="A30" s="1" t="s">
        <v>33</v>
      </c>
      <c r="B30" s="2">
        <v>81</v>
      </c>
      <c r="C30" s="2">
        <v>35523</v>
      </c>
      <c r="D30" s="2">
        <v>89254</v>
      </c>
      <c r="E30" s="2">
        <v>67</v>
      </c>
      <c r="F30" s="2">
        <v>309167</v>
      </c>
      <c r="G30" s="3">
        <v>8.6419999999999997E-2</v>
      </c>
      <c r="H30" s="2">
        <v>6.5570000000000003E-2</v>
      </c>
      <c r="I30" s="6">
        <f t="shared" si="1"/>
        <v>73.999979999999994</v>
      </c>
    </row>
    <row r="31" spans="1:9" x14ac:dyDescent="0.25">
      <c r="A31" s="1" t="s">
        <v>34</v>
      </c>
      <c r="B31" s="2">
        <v>68</v>
      </c>
      <c r="C31" s="2">
        <v>34081</v>
      </c>
      <c r="D31" s="2">
        <v>53898</v>
      </c>
      <c r="E31" s="2">
        <v>262</v>
      </c>
      <c r="F31" s="2">
        <v>262252</v>
      </c>
      <c r="G31" s="3">
        <v>8.8239999999999999E-2</v>
      </c>
      <c r="H31" s="2">
        <v>6.241E-2</v>
      </c>
      <c r="I31" s="6">
        <f t="shared" si="1"/>
        <v>61.999679999999998</v>
      </c>
    </row>
    <row r="32" spans="1:9" x14ac:dyDescent="0.25">
      <c r="A32" s="1" t="s">
        <v>35</v>
      </c>
      <c r="B32" s="2">
        <v>61</v>
      </c>
      <c r="C32" s="2">
        <v>42184</v>
      </c>
      <c r="D32" s="2">
        <v>103911</v>
      </c>
      <c r="E32" s="2">
        <v>135</v>
      </c>
      <c r="F32" s="2">
        <v>292199</v>
      </c>
      <c r="G32" s="3">
        <v>4.9180000000000001E-2</v>
      </c>
      <c r="H32" s="2">
        <v>5.9889999999999999E-2</v>
      </c>
      <c r="I32" s="6">
        <f t="shared" si="1"/>
        <v>58.000019999999999</v>
      </c>
    </row>
    <row r="33" spans="1:9" x14ac:dyDescent="0.25">
      <c r="A33" s="1" t="s">
        <v>36</v>
      </c>
      <c r="B33" s="2">
        <v>55</v>
      </c>
      <c r="C33" s="2">
        <v>21220</v>
      </c>
      <c r="D33" s="2">
        <v>41433</v>
      </c>
      <c r="E33" s="2">
        <v>13</v>
      </c>
      <c r="F33" s="2">
        <v>131789</v>
      </c>
      <c r="G33" s="3">
        <v>1.8180000000000002E-2</v>
      </c>
      <c r="H33" s="2">
        <v>5.1310000000000001E-2</v>
      </c>
      <c r="I33" s="6">
        <f t="shared" si="1"/>
        <v>54.000100000000003</v>
      </c>
    </row>
    <row r="34" spans="1:9" ht="9.7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2" t="s">
        <v>47</v>
      </c>
      <c r="B35" s="12"/>
      <c r="C35" s="12"/>
      <c r="D35" s="12"/>
      <c r="E35" s="12"/>
      <c r="F35" s="12"/>
      <c r="G35" s="12"/>
      <c r="H35" s="12"/>
      <c r="I35" s="7">
        <v>4088</v>
      </c>
    </row>
    <row r="36" spans="1:9" x14ac:dyDescent="0.25">
      <c r="A36" s="12" t="s">
        <v>41</v>
      </c>
      <c r="B36" s="12"/>
      <c r="C36" s="12"/>
      <c r="D36" s="12"/>
      <c r="E36" s="12"/>
      <c r="F36" s="12"/>
      <c r="G36" s="12"/>
      <c r="H36" s="12"/>
      <c r="I36" s="7">
        <v>350</v>
      </c>
    </row>
    <row r="37" spans="1:9" x14ac:dyDescent="0.25">
      <c r="A37" s="12" t="s">
        <v>44</v>
      </c>
      <c r="B37" s="12"/>
      <c r="C37" s="12"/>
      <c r="D37" s="12"/>
      <c r="E37" s="12"/>
      <c r="F37" s="12"/>
      <c r="G37" s="12"/>
      <c r="H37" s="12"/>
      <c r="I37" s="8">
        <v>0.09</v>
      </c>
    </row>
    <row r="38" spans="1:9" ht="33.75" customHeight="1" x14ac:dyDescent="0.25">
      <c r="A38" s="14" t="s">
        <v>46</v>
      </c>
      <c r="B38" s="15"/>
      <c r="C38" s="15"/>
      <c r="D38" s="15"/>
      <c r="E38" s="15"/>
      <c r="F38" s="15"/>
      <c r="G38" s="15"/>
      <c r="H38" s="15"/>
      <c r="I38" s="16"/>
    </row>
  </sheetData>
  <mergeCells count="8">
    <mergeCell ref="A37:H37"/>
    <mergeCell ref="A38:I38"/>
    <mergeCell ref="A1:I1"/>
    <mergeCell ref="A18:I18"/>
    <mergeCell ref="A19:I19"/>
    <mergeCell ref="A34:I34"/>
    <mergeCell ref="A35:H35"/>
    <mergeCell ref="A36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Test1 - 1hr</vt:lpstr>
      <vt:lpstr>Test2 - 30min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Nandula (IN)</dc:creator>
  <cp:lastModifiedBy>Vamsi Nandula (IN)</cp:lastModifiedBy>
  <dcterms:created xsi:type="dcterms:W3CDTF">2022-06-21T03:01:10Z</dcterms:created>
  <dcterms:modified xsi:type="dcterms:W3CDTF">2022-06-21T05:22:01Z</dcterms:modified>
</cp:coreProperties>
</file>